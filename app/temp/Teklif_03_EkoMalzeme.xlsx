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c0d98d273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lif" sheetId="1" r:id="R83fa78d84c5e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₺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aadbce6df40fd" /><Relationship Type="http://schemas.openxmlformats.org/officeDocument/2006/relationships/theme" Target="/xl/theme/theme1.xml" Id="R9c219f42e38b43ac" /><Relationship Type="http://schemas.openxmlformats.org/officeDocument/2006/relationships/sharedStrings" Target="/xl/sharedStrings.xml" Id="R6f769f0e35a04984" /><Relationship Type="http://schemas.openxmlformats.org/officeDocument/2006/relationships/worksheet" Target="/xl/worksheets/sheet1.xml" Id="R83fa78d84c5e4b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90000915527344" hidden="0" customWidth="1"/>
    <x:col min="2" max="2" width="10.140000343322754" hidden="0" customWidth="1"/>
    <x:col min="3" max="3" width="45.56999969482422" hidden="0" customWidth="1"/>
    <x:col min="4" max="4" width="11.289999961853027" hidden="0" customWidth="1"/>
    <x:col min="5" max="5" width="4.570000171661377" hidden="0" customWidth="1"/>
    <x:col min="6" max="6" width="12.859999656677246" hidden="0" customWidth="1"/>
    <x:col min="7" max="7" width="18.56999969482422" hidden="0" customWidth="1"/>
    <x:col min="8" max="8" width="11.140000343322754" hidden="0" customWidth="1"/>
    <x:col min="9" max="9" width="8.289999961853027" hidden="0" customWidth="1"/>
  </x:cols>
  <x:sheetData>
    <x:row r="1">
      <x:c r="A1" s="3" t="str">
        <x:v>Eko Malzeme San. Tic.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Teklif Tarihi: 30.04.2026</x:v>
      </x:c>
    </x:row>
    <x:row r="3">
      <x:c r="A3" t="str">
        <x:v>Not: Bazı ürünler eksik + ekstra satır</x:v>
      </x:c>
    </x:row>
    <x:row r="5">
      <x:c r="A5" s="6" t="str">
        <x:v>Sıra</x:v>
      </x:c>
      <x:c r="B5" s="6" t="str">
        <x:v>Ürün Kodu</x:v>
      </x:c>
      <x:c r="C5" s="6" t="str">
        <x:v>Ürün Açıklaması</x:v>
      </x:c>
      <x:c r="D5" s="6" t="str">
        <x:v>Teklif Miktarı</x:v>
      </x:c>
      <x:c r="E5" s="6" t="str">
        <x:v>Birim</x:v>
      </x:c>
      <x:c r="F5" s="6" t="str">
        <x:v>Birim Fiyat (TL)</x:v>
      </x:c>
      <x:c r="G5" s="6" t="str">
        <x:v>Toplam (TL)</x:v>
      </x:c>
      <x:c r="H5" s="6" t="str">
        <x:v>Teslim Süresi</x:v>
      </x:c>
      <x:c r="I5" s="6" t="str">
        <x:v>Açıklama</x:v>
      </x:c>
    </x:row>
    <x:row r="6">
      <x:c r="A6" t="n">
        <x:v>1</x:v>
      </x:c>
      <x:c r="B6" t="str">
        <x:v>AA001</x:v>
      </x:c>
      <x:c r="C6" t="str">
        <x:v>kurşun kalem</x:v>
      </x:c>
      <x:c r="D6" t="n">
        <x:v>50</x:v>
      </x:c>
      <x:c r="E6" t="str">
        <x:v>adet</x:v>
      </x:c>
      <x:c r="F6" s="8" t="n">
        <x:v>3.08</x:v>
      </x:c>
      <x:c r="G6" s="8" t="n">
        <x:f>D6*F6</x:f>
        <x:v>154</x:v>
      </x:c>
      <x:c r="H6" t="str">
        <x:v>7-14 gün</x:v>
      </x:c>
      <x:c r="I6" t="str">
        <x:v>KDV Hariç</x:v>
      </x:c>
    </x:row>
    <x:row r="7">
      <x:c r="A7" t="n">
        <x:v>2</x:v>
      </x:c>
      <x:c r="B7" t="str">
        <x:v>a001</x:v>
      </x:c>
      <x:c r="C7" t="str">
        <x:v>silgi</x:v>
      </x:c>
      <x:c r="D7" t="n">
        <x:v>110</x:v>
      </x:c>
      <x:c r="E7" t="str">
        <x:v>adet</x:v>
      </x:c>
      <x:c r="F7" s="8" t="n">
        <x:v>2.19</x:v>
      </x:c>
      <x:c r="G7" s="8" t="n">
        <x:f>D7*F7</x:f>
        <x:v>240.9</x:v>
      </x:c>
      <x:c r="H7" t="str">
        <x:v>7-14 gün</x:v>
      </x:c>
      <x:c r="I7" t="str">
        <x:v>KDV Hariç</x:v>
      </x:c>
    </x:row>
    <x:row r="8">
      <x:c r="A8" t="n">
        <x:v>3</x:v>
      </x:c>
      <x:c r="B8" t="str">
        <x:v>a002</x:v>
      </x:c>
      <x:c r="C8" t="str">
        <x:v>defter</x:v>
      </x:c>
      <x:c r="D8" t="n">
        <x:v>110</x:v>
      </x:c>
      <x:c r="E8" t="str">
        <x:v>adet</x:v>
      </x:c>
      <x:c r="F8" s="8" t="n">
        <x:v>14.66</x:v>
      </x:c>
      <x:c r="G8" s="8" t="n">
        <x:f>D8*F8</x:f>
        <x:v>1612.6</x:v>
      </x:c>
      <x:c r="H8" t="str">
        <x:v>7-14 gün</x:v>
      </x:c>
      <x:c r="I8" t="str">
        <x:v>KDV Hariç</x:v>
      </x:c>
    </x:row>
    <x:row r="9">
      <x:c r="A9" t="n">
        <x:v>4</x:v>
      </x:c>
      <x:c r="B9" t="str">
        <x:v>PRD-0001</x:v>
      </x:c>
      <x:c r="C9" t="str">
        <x:v>kalem turaş</x:v>
      </x:c>
      <x:c r="D9" t="n">
        <x:v>40</x:v>
      </x:c>
      <x:c r="E9" t="str">
        <x:v>adet</x:v>
      </x:c>
      <x:c r="F9" s="8" t="n">
        <x:v>8.45</x:v>
      </x:c>
      <x:c r="G9" s="8" t="n">
        <x:f>D9*F9</x:f>
        <x:v>338</x:v>
      </x:c>
      <x:c r="H9" t="str">
        <x:v>7-14 gün</x:v>
      </x:c>
      <x:c r="I9" t="str">
        <x:v>KDV Hariç</x:v>
      </x:c>
    </x:row>
    <x:row r="10">
      <x:c r="A10" t="n">
        <x:v>6</x:v>
      </x:c>
      <x:c r="B10" t="str">
        <x:v>a005</x:v>
      </x:c>
      <x:c r="C10" t="str">
        <x:v>cetvel</x:v>
      </x:c>
      <x:c r="D10" t="n">
        <x:v>210</x:v>
      </x:c>
      <x:c r="E10" t="str">
        <x:v>adet</x:v>
      </x:c>
      <x:c r="F10" s="8" t="n">
        <x:v>6.3</x:v>
      </x:c>
      <x:c r="G10" s="8" t="n">
        <x:f>D10*F10</x:f>
        <x:v>1323</x:v>
      </x:c>
      <x:c r="H10" t="str">
        <x:v>7-14 gün</x:v>
      </x:c>
      <x:c r="I10" t="str">
        <x:v>KDV Hariç</x:v>
      </x:c>
    </x:row>
    <x:row r="11">
      <x:c r="A11" t="n">
        <x:v>7</x:v>
      </x:c>
      <x:c r="B11" t="str">
        <x:v>a003</x:v>
      </x:c>
      <x:c r="C11" t="str">
        <x:v>kalem tıraş</x:v>
      </x:c>
      <x:c r="D11" t="n">
        <x:v>120</x:v>
      </x:c>
      <x:c r="E11" t="str">
        <x:v>adet</x:v>
      </x:c>
      <x:c r="F11" s="8" t="n">
        <x:v>7.43</x:v>
      </x:c>
      <x:c r="G11" s="8" t="n">
        <x:f>D11*F11</x:f>
        <x:v>891.5999999999999</x:v>
      </x:c>
      <x:c r="H11" t="str">
        <x:v>7-14 gün</x:v>
      </x:c>
      <x:c r="I11" t="str">
        <x:v>KDV Hariç</x:v>
      </x:c>
    </x:row>
    <x:row r="12">
      <x:c r="A12" t="n">
        <x:v>8</x:v>
      </x:c>
      <x:c r="B12" t="str">
        <x:v>a006</x:v>
      </x:c>
      <x:c r="C12" t="str">
        <x:v>kalem</x:v>
      </x:c>
      <x:c r="D12" t="n">
        <x:v>5</x:v>
      </x:c>
      <x:c r="E12" t="str">
        <x:v>adet</x:v>
      </x:c>
      <x:c r="F12" s="8" t="n">
        <x:v>3.5</x:v>
      </x:c>
      <x:c r="G12" s="8" t="n">
        <x:f>D12*F12</x:f>
        <x:v>17.5</x:v>
      </x:c>
      <x:c r="H12" t="str">
        <x:v>7-14 gün</x:v>
      </x:c>
      <x:c r="I12" t="str">
        <x:v>KDV Hariç</x:v>
      </x:c>
    </x:row>
    <x:row r="13">
      <x:c r="A13" t="n">
        <x:v>9</x:v>
      </x:c>
      <x:c r="B13" t="str">
        <x:v>PRD-0002</x:v>
      </x:c>
      <x:c r="C13" t="str">
        <x:v>PİLOT KALEM</x:v>
      </x:c>
      <x:c r="D13" t="n">
        <x:v>90</x:v>
      </x:c>
      <x:c r="E13" t="str">
        <x:v>adet</x:v>
      </x:c>
      <x:c r="F13" s="8" t="n">
        <x:v>12.17</x:v>
      </x:c>
      <x:c r="G13" s="8" t="n">
        <x:f>D13*F13</x:f>
        <x:v>1095.3</x:v>
      </x:c>
      <x:c r="H13" t="str">
        <x:v>7-14 gün</x:v>
      </x:c>
      <x:c r="I13" t="str">
        <x:v>KDV Hariç</x:v>
      </x:c>
    </x:row>
    <x:row r="14">
      <x:c r="A14" t="n">
        <x:v>10</x:v>
      </x:c>
      <x:c r="B14" t="str">
        <x:v>A102</x:v>
      </x:c>
      <x:c r="C14" t="str">
        <x:v>SİLGİ BÜYÜK</x:v>
      </x:c>
      <x:c r="D14" t="n">
        <x:v>275</x:v>
      </x:c>
      <x:c r="E14" t="str">
        <x:v>adet</x:v>
      </x:c>
      <x:c r="F14" s="8" t="n">
        <x:v>4.38</x:v>
      </x:c>
      <x:c r="G14" s="8" t="n">
        <x:f>D14*F14</x:f>
        <x:v>1204.5</x:v>
      </x:c>
      <x:c r="H14" t="str">
        <x:v>7-14 gün</x:v>
      </x:c>
      <x:c r="I14" t="str">
        <x:v>KDV Hariç</x:v>
      </x:c>
    </x:row>
    <x:row r="15">
      <x:c r="A15" t="n">
        <x:v>11</x:v>
      </x:c>
      <x:c r="B15" t="str">
        <x:v>A104</x:v>
      </x:c>
      <x:c r="C15" t="str">
        <x:v>DOSYA KLASÖR</x:v>
      </x:c>
      <x:c r="D15" t="n">
        <x:v>60</x:v>
      </x:c>
      <x:c r="E15" t="str">
        <x:v>adet</x:v>
      </x:c>
      <x:c r="F15" s="8" t="n">
        <x:v>19.01</x:v>
      </x:c>
      <x:c r="G15" s="8" t="n">
        <x:f>D15*F15</x:f>
        <x:v>1140.6000000000001</x:v>
      </x:c>
      <x:c r="H15" t="str">
        <x:v>7-14 gün</x:v>
      </x:c>
      <x:c r="I15" t="str">
        <x:v>KDV Hariç</x:v>
      </x:c>
    </x:row>
    <x:row r="16">
      <x:c r="A16" t="n">
        <x:v>12</x:v>
      </x:c>
      <x:c r="B16" t="str">
        <x:v>A105</x:v>
      </x:c>
      <x:c r="C16" t="str">
        <x:v>ZIMBA MAKİNESİ</x:v>
      </x:c>
      <x:c r="D16" t="n">
        <x:v>40</x:v>
      </x:c>
      <x:c r="E16" t="str">
        <x:v>adet</x:v>
      </x:c>
      <x:c r="F16" s="8" t="n">
        <x:v>74.5</x:v>
      </x:c>
      <x:c r="G16" s="8" t="n">
        <x:f>D16*F16</x:f>
        <x:v>2980</x:v>
      </x:c>
      <x:c r="H16" t="str">
        <x:v>7-14 gün</x:v>
      </x:c>
      <x:c r="I16" t="str">
        <x:v>KDV Hariç</x:v>
      </x:c>
    </x:row>
    <x:row r="17">
      <x:c r="A17" t="n">
        <x:v>13</x:v>
      </x:c>
      <x:c r="B17" t="str">
        <x:v>PRD-0003</x:v>
      </x:c>
      <x:c r="C17" t="str">
        <x:v>Ahşap ve hafif metal montajı için uygun, galvaniz kaplı</x:v>
      </x:c>
      <x:c r="D17" t="n">
        <x:v>250</x:v>
      </x:c>
      <x:c r="E17" t="str">
        <x:v>adet</x:v>
      </x:c>
      <x:c r="F17" s="8" t="n">
        <x:v>1.38</x:v>
      </x:c>
      <x:c r="G17" s="8" t="n">
        <x:f>D17*F17</x:f>
        <x:v>345</x:v>
      </x:c>
      <x:c r="H17" t="str">
        <x:v>7-14 gün</x:v>
      </x:c>
      <x:c r="I17" t="str">
        <x:v>KDV Hariç</x:v>
      </x:c>
    </x:row>
    <x:row r="18">
      <x:c r="A18" t="n">
        <x:v>15</x:v>
      </x:c>
      <x:c r="B18" t="str">
        <x:v>PRD-0005</x:v>
      </x:c>
      <x:c r="C18" t="str">
        <x:v>Siyah, UV dayanımlı</x:v>
      </x:c>
      <x:c r="D18" t="n">
        <x:v>500</x:v>
      </x:c>
      <x:c r="E18" t="str">
        <x:v>adet</x:v>
      </x:c>
      <x:c r="F18" s="8" t="n">
        <x:v>0.68</x:v>
      </x:c>
      <x:c r="G18" s="8" t="n">
        <x:f>D18*F18</x:f>
        <x:v>340</x:v>
      </x:c>
      <x:c r="H18" t="str">
        <x:v>7-14 gün</x:v>
      </x:c>
      <x:c r="I18" t="str">
        <x:v>KDV Hariç</x:v>
      </x:c>
    </x:row>
    <x:row r="19">
      <x:c r="A19" t="n">
        <x:v>16</x:v>
      </x:c>
      <x:c r="B19" t="str">
        <x:v>PRD-0006</x:v>
      </x:c>
      <x:c r="C19" t="str">
        <x:v>Tek kullanımlık, pudrasız</x:v>
      </x:c>
      <x:c r="D19" t="n">
        <x:v>20</x:v>
      </x:c>
      <x:c r="E19" t="str">
        <x:v>kutu</x:v>
      </x:c>
      <x:c r="F19" s="8" t="n">
        <x:v>84.78</x:v>
      </x:c>
      <x:c r="G19" s="8" t="n">
        <x:f>D19*F19</x:f>
        <x:v>1695.6</x:v>
      </x:c>
      <x:c r="H19" t="str">
        <x:v>7-14 gün</x:v>
      </x:c>
      <x:c r="I19" t="str">
        <x:v>KDV Hariç</x:v>
      </x:c>
    </x:row>
    <x:row r="20">
      <x:c r="A20" t="n">
        <x:v>17</x:v>
      </x:c>
      <x:c r="B20" t="str">
        <x:v>PRD-0007</x:v>
      </x:c>
      <x:c r="C20" t="str">
        <x:v>İç cephe boşluk doldurma uygulaması</x:v>
      </x:c>
      <x:c r="D20" t="n">
        <x:v>36</x:v>
      </x:c>
      <x:c r="E20" t="str">
        <x:v>adet</x:v>
      </x:c>
      <x:c r="F20" s="8" t="n">
        <x:v>57.33</x:v>
      </x:c>
      <x:c r="G20" s="8" t="n">
        <x:f>D20*F20</x:f>
        <x:v>2063.88</x:v>
      </x:c>
      <x:c r="H20" t="str">
        <x:v>7-14 gün</x:v>
      </x:c>
      <x:c r="I20" t="str">
        <x:v>KDV Hariç</x:v>
      </x:c>
    </x:row>
    <x:row r="21">
      <x:c r="A21" t="n">
        <x:v>18</x:v>
      </x:c>
      <x:c r="B21" t="str">
        <x:v>PRD-0008</x:v>
      </x:c>
      <x:c r="C21" t="str">
        <x:v>Metal kesim için</x:v>
      </x:c>
      <x:c r="D21" t="n">
        <x:v>40</x:v>
      </x:c>
      <x:c r="E21" t="str">
        <x:v>adet</x:v>
      </x:c>
      <x:c r="F21" s="8" t="n">
        <x:v>34.54</x:v>
      </x:c>
      <x:c r="G21" s="8" t="n">
        <x:f>D21*F21</x:f>
        <x:v>1381.6</x:v>
      </x:c>
      <x:c r="H21" t="str">
        <x:v>7-14 gün</x:v>
      </x:c>
      <x:c r="I21" t="str">
        <x:v>KDV Hariç</x:v>
      </x:c>
    </x:row>
    <x:row r="22">
      <x:c r="A22" t="n">
        <x:v>19</x:v>
      </x:c>
      <x:c r="B22" t="str">
        <x:v>PRD-0009</x:v>
      </x:c>
      <x:c r="C22" t="str">
        <x:v>Elektrik bağlantı izolasyonu</x:v>
      </x:c>
      <x:c r="D22" t="n">
        <x:v>75</x:v>
      </x:c>
      <x:c r="E22" t="str">
        <x:v>adet</x:v>
      </x:c>
      <x:c r="F22" s="8" t="n">
        <x:v>15.37</x:v>
      </x:c>
      <x:c r="G22" s="8" t="n">
        <x:f>D22*F22</x:f>
        <x:v>1152.75</x:v>
      </x:c>
      <x:c r="H22" t="str">
        <x:v>7-14 gün</x:v>
      </x:c>
      <x:c r="I22" t="str">
        <x:v>KDV Hariç</x:v>
      </x:c>
    </x:row>
    <x:row r="23">
      <x:c r="A23" t="n">
        <x:v>21</x:v>
      </x:c>
      <x:c r="B23" t="str">
        <x:v>A101</x:v>
      </x:c>
      <x:c r="C23" t="str">
        <x:v>PİLOT KALEM MAVİ</x:v>
      </x:c>
      <x:c r="D23" t="n">
        <x:v>410</x:v>
      </x:c>
      <x:c r="E23" t="str">
        <x:v>adet</x:v>
      </x:c>
      <x:c r="F23" s="8" t="n">
        <x:v>11.73</x:v>
      </x:c>
      <x:c r="G23" s="8" t="n">
        <x:f>D23*F23</x:f>
        <x:v>4809.3</x:v>
      </x:c>
      <x:c r="H23" t="str">
        <x:v>7-14 gün</x:v>
      </x:c>
      <x:c r="I23" t="str">
        <x:v>KDV Hariç</x:v>
      </x:c>
    </x:row>
    <x:row r="24">
      <x:c r="A24" t="n">
        <x:v>22</x:v>
      </x:c>
      <x:c r="B24" t="str">
        <x:v>A103</x:v>
      </x:c>
      <x:c r="C24" t="str">
        <x:v>DEFTER A4</x:v>
      </x:c>
      <x:c r="D24" t="n">
        <x:v>150</x:v>
      </x:c>
      <x:c r="E24" t="str">
        <x:v>adet</x:v>
      </x:c>
      <x:c r="F24" s="8" t="n">
        <x:v>28.36</x:v>
      </x:c>
      <x:c r="G24" s="8" t="n">
        <x:f>D24*F24</x:f>
        <x:v>4254</x:v>
      </x:c>
      <x:c r="H24" t="str">
        <x:v>7-14 gün</x:v>
      </x:c>
      <x:c r="I24" t="str">
        <x:v>KDV Hariç</x:v>
      </x:c>
    </x:row>
    <x:row r="25">
      <x:c r="A25" t="n">
        <x:v>23</x:v>
      </x:c>
      <x:c r="B25" t="str">
        <x:v>PRD-0011</x:v>
      </x:c>
      <x:c r="C25" t="str">
        <x:v>uçlu kalem</x:v>
      </x:c>
      <x:c r="D25" t="n">
        <x:v>70</x:v>
      </x:c>
      <x:c r="E25" t="str">
        <x:v>adet</x:v>
      </x:c>
      <x:c r="F25" s="8" t="n">
        <x:v>9.63</x:v>
      </x:c>
      <x:c r="G25" s="8" t="n">
        <x:f>D25*F25</x:f>
        <x:v>674.1</x:v>
      </x:c>
      <x:c r="H25" t="str">
        <x:v>7-14 gün</x:v>
      </x:c>
      <x:c r="I25" t="str">
        <x:v>KDV Hariç</x:v>
      </x:c>
    </x:row>
    <x:row r="26">
      <x:c r="A26" t="n">
        <x:v>99</x:v>
      </x:c>
      <x:c r="B26" t="str">
        <x:v>EKSTRA-001</x:v>
      </x:c>
      <x:c r="C26" t="str">
        <x:v>Talep listesinde olmayan ekstra ürün</x:v>
      </x:c>
      <x:c r="D26" t="n">
        <x:v>25</x:v>
      </x:c>
      <x:c r="E26" t="str">
        <x:v>adet</x:v>
      </x:c>
      <x:c r="F26" s="8" t="n">
        <x:v>15.75</x:v>
      </x:c>
      <x:c r="G26" s="8" t="n">
        <x:f>D26*F26</x:f>
        <x:v>393.75</x:v>
      </x:c>
      <x:c r="H26" t="str">
        <x:v>10 gün</x:v>
      </x:c>
      <x:c r="I26" t="str">
        <x:v>Ekstra</x:v>
      </x:c>
    </x:row>
    <x:row r="27">
      <x:c r="F27" s="8"/>
      <x:c r="G27" s="8"/>
    </x:row>
    <x:row r="28">
      <x:c r="F28" s="8" t="str">
        <x:v>Genel Toplam</x:v>
      </x:c>
      <x:c r="G28" s="8" t="n">
        <x:f>SUM(G6:G26)</x:f>
        <x:v>28107.979999999996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