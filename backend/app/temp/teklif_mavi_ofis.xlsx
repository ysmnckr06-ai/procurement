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40cfca0704a054e/Desktop/deneme teklif 1/"/>
    </mc:Choice>
  </mc:AlternateContent>
  <xr:revisionPtr revIDLastSave="31" documentId="11_B1C66B5C95427EDEEF41D0545A5DCE3AC745514C" xr6:coauthVersionLast="47" xr6:coauthVersionMax="47" xr10:uidLastSave="{2B15546E-8035-4E0C-8311-FFDA69677486}"/>
  <bookViews>
    <workbookView xWindow="14295" yWindow="0" windowWidth="14610" windowHeight="15585" xr2:uid="{00000000-000D-0000-FFFF-FFFF00000000}"/>
  </bookViews>
  <sheets>
    <sheet name="Tekli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I22" i="1" s="1"/>
  <c r="I21" i="1"/>
  <c r="H21" i="1"/>
  <c r="H20" i="1"/>
  <c r="I20" i="1" s="1"/>
  <c r="H19" i="1"/>
  <c r="I19" i="1" s="1"/>
  <c r="I18" i="1"/>
  <c r="H18" i="1"/>
  <c r="H17" i="1"/>
  <c r="I17" i="1" s="1"/>
  <c r="I16" i="1"/>
  <c r="H16" i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I24" i="1" s="1"/>
  <c r="I25" i="1" l="1"/>
  <c r="I26" i="1" s="1"/>
</calcChain>
</file>

<file path=xl/sharedStrings.xml><?xml version="1.0" encoding="utf-8"?>
<sst xmlns="http://schemas.openxmlformats.org/spreadsheetml/2006/main" count="68" uniqueCount="54">
  <si>
    <t>MAVİ OFİS TEDARİK A.Ş.</t>
  </si>
  <si>
    <t>SATINALMA TEKLİF FORMU</t>
  </si>
  <si>
    <t>Teklif No</t>
  </si>
  <si>
    <t>TKF-2026-002</t>
  </si>
  <si>
    <t>Teklif Tarihi</t>
  </si>
  <si>
    <t>02.05.2026</t>
  </si>
  <si>
    <t>Para Birimi</t>
  </si>
  <si>
    <t>TL</t>
  </si>
  <si>
    <t>Sıra No</t>
  </si>
  <si>
    <t>Ürün Kodu</t>
  </si>
  <si>
    <t>Ürün Açıklaması</t>
  </si>
  <si>
    <t>Miktar</t>
  </si>
  <si>
    <t>Birim</t>
  </si>
  <si>
    <t>Birim Fiyat</t>
  </si>
  <si>
    <t>İskonto %</t>
  </si>
  <si>
    <t>İskontolu Fiyat</t>
  </si>
  <si>
    <t>Satır Toplamı</t>
  </si>
  <si>
    <t>A101</t>
  </si>
  <si>
    <t>PİLOT KALEM MAVİ</t>
  </si>
  <si>
    <t>adet</t>
  </si>
  <si>
    <t>PRD-0001</t>
  </si>
  <si>
    <t>PİLOT KALEM</t>
  </si>
  <si>
    <t>A102</t>
  </si>
  <si>
    <t>SİLGİ BÜYÜK</t>
  </si>
  <si>
    <t>A001</t>
  </si>
  <si>
    <t>SİLGİ</t>
  </si>
  <si>
    <t>A103</t>
  </si>
  <si>
    <t>DEFTER A4</t>
  </si>
  <si>
    <t>A002</t>
  </si>
  <si>
    <t>DEFTER</t>
  </si>
  <si>
    <t>A104</t>
  </si>
  <si>
    <t>DOSYA KLASÖR</t>
  </si>
  <si>
    <t>A105</t>
  </si>
  <si>
    <t>ZIMBA MAKİNESİ</t>
  </si>
  <si>
    <t>A006</t>
  </si>
  <si>
    <t>KALEM</t>
  </si>
  <si>
    <t>KURŞUN KALEM</t>
  </si>
  <si>
    <t>PRD-0002</t>
  </si>
  <si>
    <t>UÇLU KALEM</t>
  </si>
  <si>
    <t>A003</t>
  </si>
  <si>
    <t>KALEM TIRAŞ</t>
  </si>
  <si>
    <t>A004</t>
  </si>
  <si>
    <t>PERGEL</t>
  </si>
  <si>
    <t>A005</t>
  </si>
  <si>
    <t>CETVEL</t>
  </si>
  <si>
    <t>DİP TOPLAM</t>
  </si>
  <si>
    <t>KDV %20</t>
  </si>
  <si>
    <t>GENEL TOPLAM</t>
  </si>
  <si>
    <t>Vade</t>
  </si>
  <si>
    <t>60 gün</t>
  </si>
  <si>
    <t>Termin</t>
  </si>
  <si>
    <t>7 iş günü</t>
  </si>
  <si>
    <t>Not</t>
  </si>
  <si>
    <t>Fiyatlara KDV dahil değildir. Teklif tüm kalemler için geçerlidir.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</si>
</sst>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₺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3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164" fontId="3" fillId="0" borderId="1" xfId="0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topLeftCell="A5" workbookViewId="0">
      <selection activeCell="B29" sqref="B29"/>
    </sheetView>
  </sheetViews>
  <sheetFormatPr defaultRowHeight="15" x14ac:dyDescent="0.25"/>
  <cols>
    <col min="1" max="1" width="9" customWidth="1"/>
    <col min="2" max="2" width="14" customWidth="1"/>
    <col min="3" max="3" width="30" customWidth="1"/>
    <col min="4" max="4" width="12" customWidth="1"/>
    <col min="5" max="5" width="10" customWidth="1"/>
    <col min="6" max="6" width="14" customWidth="1"/>
    <col min="7" max="7" width="12" customWidth="1"/>
    <col min="8" max="9" width="17" customWidth="1"/>
  </cols>
  <sheetData>
    <row r="1" spans="1:9" ht="21.9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1.95" customHeight="1" x14ac:dyDescent="0.25">
      <c r="A2" s="10" t="s">
        <v>1</v>
      </c>
      <c r="B2" s="9"/>
      <c r="C2" s="9"/>
      <c r="D2" s="9"/>
      <c r="E2" s="9"/>
      <c r="F2" s="9"/>
      <c r="G2" s="9"/>
      <c r="H2" s="9"/>
      <c r="I2" s="9"/>
    </row>
    <row r="3" spans="1:9" ht="21.9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21.95" customHeight="1" x14ac:dyDescent="0.25">
      <c r="A4" s="2" t="s">
        <v>2</v>
      </c>
      <c r="B4" s="1" t="s">
        <v>3</v>
      </c>
      <c r="C4" s="1"/>
      <c r="D4" s="1"/>
      <c r="E4" s="1"/>
      <c r="F4" s="1"/>
      <c r="G4" s="1"/>
      <c r="H4" s="1"/>
      <c r="I4" s="1"/>
    </row>
    <row r="5" spans="1:9" ht="21.95" customHeight="1" x14ac:dyDescent="0.25">
      <c r="A5" s="2" t="s">
        <v>4</v>
      </c>
      <c r="B5" s="1" t="s">
        <v>5</v>
      </c>
      <c r="C5" s="1"/>
      <c r="D5" s="1"/>
      <c r="E5" s="1"/>
      <c r="F5" s="1"/>
      <c r="G5" s="1"/>
      <c r="H5" s="1"/>
      <c r="I5" s="1"/>
    </row>
    <row r="6" spans="1:9" ht="21.95" customHeight="1" x14ac:dyDescent="0.25">
      <c r="A6" s="2" t="s">
        <v>6</v>
      </c>
      <c r="B6" s="1" t="s">
        <v>7</v>
      </c>
      <c r="C6" s="1"/>
      <c r="D6" s="1"/>
      <c r="E6" s="1"/>
      <c r="F6" s="1"/>
      <c r="G6" s="1"/>
      <c r="H6" s="1"/>
      <c r="I6" s="1"/>
    </row>
    <row r="7" spans="1:9" ht="21.95" customHeight="1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ht="21.95" customHeight="1" x14ac:dyDescent="0.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</row>
    <row r="9" spans="1:9" ht="21.95" customHeight="1" x14ac:dyDescent="0.25">
      <c r="A9" s="1">
        <v>1</v>
      </c>
      <c r="B9" s="1" t="s">
        <v>17</v>
      </c>
      <c r="C9" s="4" t="s">
        <v>18</v>
      </c>
      <c r="D9" s="14">
        <v>410</v>
      </c>
      <c r="E9" s="1" t="s">
        <v>19</v>
      </c>
      <c r="F9" s="11">
        <v>17.13</v>
      </c>
      <c r="G9" s="15">
        <v>8</v>
      </c>
      <c r="H9" s="5">
        <f t="shared" ref="H9:H22" si="0">F9*(1-G9/100)</f>
        <v>15.759599999999999</v>
      </c>
      <c r="I9" s="5">
        <f t="shared" ref="I9:I22" si="1">D9*H9</f>
        <v>6461.4359999999997</v>
      </c>
    </row>
    <row r="10" spans="1:9" ht="21.95" customHeight="1" x14ac:dyDescent="0.25">
      <c r="A10" s="1">
        <v>2</v>
      </c>
      <c r="B10" s="1" t="s">
        <v>20</v>
      </c>
      <c r="C10" s="4" t="s">
        <v>21</v>
      </c>
      <c r="D10" s="14">
        <v>90</v>
      </c>
      <c r="E10" s="1" t="s">
        <v>19</v>
      </c>
      <c r="F10" s="12">
        <v>13.35</v>
      </c>
      <c r="G10" s="15">
        <v>8</v>
      </c>
      <c r="H10" s="5">
        <f t="shared" si="0"/>
        <v>12.282</v>
      </c>
      <c r="I10" s="5">
        <f t="shared" si="1"/>
        <v>1105.3800000000001</v>
      </c>
    </row>
    <row r="11" spans="1:9" ht="21.95" customHeight="1" x14ac:dyDescent="0.25">
      <c r="A11" s="1">
        <v>3</v>
      </c>
      <c r="B11" s="1" t="s">
        <v>22</v>
      </c>
      <c r="C11" s="4" t="s">
        <v>23</v>
      </c>
      <c r="D11" s="14">
        <v>275</v>
      </c>
      <c r="E11" s="1" t="s">
        <v>19</v>
      </c>
      <c r="F11" s="11">
        <v>8.35</v>
      </c>
      <c r="G11" s="15">
        <v>6</v>
      </c>
      <c r="H11" s="5">
        <f t="shared" si="0"/>
        <v>7.8489999999999993</v>
      </c>
      <c r="I11" s="5">
        <f t="shared" si="1"/>
        <v>2158.4749999999999</v>
      </c>
    </row>
    <row r="12" spans="1:9" ht="21.95" customHeight="1" x14ac:dyDescent="0.25">
      <c r="A12" s="1">
        <v>4</v>
      </c>
      <c r="B12" s="1" t="s">
        <v>24</v>
      </c>
      <c r="C12" s="4" t="s">
        <v>25</v>
      </c>
      <c r="D12" s="14">
        <v>110</v>
      </c>
      <c r="E12" s="1" t="s">
        <v>19</v>
      </c>
      <c r="F12" s="12">
        <v>7.65</v>
      </c>
      <c r="G12" s="15">
        <v>8</v>
      </c>
      <c r="H12" s="5">
        <f t="shared" si="0"/>
        <v>7.0380000000000003</v>
      </c>
      <c r="I12" s="5">
        <f t="shared" si="1"/>
        <v>774.18000000000006</v>
      </c>
    </row>
    <row r="13" spans="1:9" ht="21.95" customHeight="1" x14ac:dyDescent="0.25">
      <c r="A13" s="1">
        <v>5</v>
      </c>
      <c r="B13" s="1" t="s">
        <v>26</v>
      </c>
      <c r="C13" s="4" t="s">
        <v>27</v>
      </c>
      <c r="D13" s="14">
        <v>150</v>
      </c>
      <c r="E13" s="1" t="s">
        <v>19</v>
      </c>
      <c r="F13" s="11">
        <v>38.299999999999997</v>
      </c>
      <c r="G13" s="15">
        <v>8</v>
      </c>
      <c r="H13" s="5">
        <f t="shared" si="0"/>
        <v>35.235999999999997</v>
      </c>
      <c r="I13" s="5">
        <f t="shared" si="1"/>
        <v>5285.4</v>
      </c>
    </row>
    <row r="14" spans="1:9" ht="21.95" customHeight="1" x14ac:dyDescent="0.25">
      <c r="A14" s="1">
        <v>6</v>
      </c>
      <c r="B14" s="1" t="s">
        <v>28</v>
      </c>
      <c r="C14" s="4" t="s">
        <v>29</v>
      </c>
      <c r="D14" s="14">
        <v>110</v>
      </c>
      <c r="E14" s="1" t="s">
        <v>19</v>
      </c>
      <c r="F14" s="13">
        <v>32.869999999999997</v>
      </c>
      <c r="G14" s="15">
        <v>6</v>
      </c>
      <c r="H14" s="5">
        <f t="shared" si="0"/>
        <v>30.897799999999997</v>
      </c>
      <c r="I14" s="5">
        <f t="shared" si="1"/>
        <v>3398.7579999999998</v>
      </c>
    </row>
    <row r="15" spans="1:9" ht="21.95" customHeight="1" x14ac:dyDescent="0.25">
      <c r="A15" s="1">
        <v>7</v>
      </c>
      <c r="B15" s="1" t="s">
        <v>30</v>
      </c>
      <c r="C15" s="4" t="s">
        <v>31</v>
      </c>
      <c r="D15" s="14">
        <v>60</v>
      </c>
      <c r="E15" s="1" t="s">
        <v>19</v>
      </c>
      <c r="F15" s="11">
        <v>26.32</v>
      </c>
      <c r="G15" s="15">
        <v>8</v>
      </c>
      <c r="H15" s="5">
        <f t="shared" si="0"/>
        <v>24.214400000000001</v>
      </c>
      <c r="I15" s="5">
        <f t="shared" si="1"/>
        <v>1452.864</v>
      </c>
    </row>
    <row r="16" spans="1:9" ht="21.95" customHeight="1" x14ac:dyDescent="0.25">
      <c r="A16" s="1">
        <v>8</v>
      </c>
      <c r="B16" s="1" t="s">
        <v>32</v>
      </c>
      <c r="C16" s="4" t="s">
        <v>33</v>
      </c>
      <c r="D16" s="14">
        <v>40</v>
      </c>
      <c r="E16" s="1" t="s">
        <v>19</v>
      </c>
      <c r="F16" s="11">
        <v>157.43</v>
      </c>
      <c r="G16" s="15">
        <v>8</v>
      </c>
      <c r="H16" s="5">
        <f t="shared" si="0"/>
        <v>144.8356</v>
      </c>
      <c r="I16" s="5">
        <f t="shared" si="1"/>
        <v>5793.424</v>
      </c>
    </row>
    <row r="17" spans="1:9" ht="21.95" customHeight="1" x14ac:dyDescent="0.25">
      <c r="A17" s="1">
        <v>9</v>
      </c>
      <c r="B17" s="1" t="s">
        <v>34</v>
      </c>
      <c r="C17" s="4" t="s">
        <v>35</v>
      </c>
      <c r="D17" s="14">
        <v>5</v>
      </c>
      <c r="E17" s="1" t="s">
        <v>19</v>
      </c>
      <c r="F17" s="12">
        <v>11.62</v>
      </c>
      <c r="G17" s="15">
        <v>6</v>
      </c>
      <c r="H17" s="5">
        <f t="shared" si="0"/>
        <v>10.922799999999999</v>
      </c>
      <c r="I17" s="5">
        <f t="shared" si="1"/>
        <v>54.61399999999999</v>
      </c>
    </row>
    <row r="18" spans="1:9" ht="21.95" customHeight="1" x14ac:dyDescent="0.25">
      <c r="A18" s="1">
        <v>10</v>
      </c>
      <c r="B18" s="1" t="s">
        <v>24</v>
      </c>
      <c r="C18" s="4" t="s">
        <v>36</v>
      </c>
      <c r="D18" s="14">
        <v>50</v>
      </c>
      <c r="E18" s="1" t="s">
        <v>19</v>
      </c>
      <c r="F18" s="12">
        <v>8.66</v>
      </c>
      <c r="G18" s="15">
        <v>8</v>
      </c>
      <c r="H18" s="5">
        <f t="shared" si="0"/>
        <v>7.9672000000000001</v>
      </c>
      <c r="I18" s="5">
        <f t="shared" si="1"/>
        <v>398.36</v>
      </c>
    </row>
    <row r="19" spans="1:9" ht="21.95" customHeight="1" x14ac:dyDescent="0.25">
      <c r="A19" s="1">
        <v>11</v>
      </c>
      <c r="B19" s="1" t="s">
        <v>37</v>
      </c>
      <c r="C19" s="4" t="s">
        <v>38</v>
      </c>
      <c r="D19" s="14">
        <v>70</v>
      </c>
      <c r="E19" s="1" t="s">
        <v>19</v>
      </c>
      <c r="F19" s="12">
        <v>20.37</v>
      </c>
      <c r="G19" s="15">
        <v>8</v>
      </c>
      <c r="H19" s="5">
        <f t="shared" si="0"/>
        <v>18.740400000000001</v>
      </c>
      <c r="I19" s="5">
        <f t="shared" si="1"/>
        <v>1311.828</v>
      </c>
    </row>
    <row r="20" spans="1:9" ht="21.95" customHeight="1" x14ac:dyDescent="0.25">
      <c r="A20" s="1">
        <v>12</v>
      </c>
      <c r="B20" s="1" t="s">
        <v>39</v>
      </c>
      <c r="C20" s="4" t="s">
        <v>40</v>
      </c>
      <c r="D20" s="14">
        <v>160</v>
      </c>
      <c r="E20" s="1" t="s">
        <v>19</v>
      </c>
      <c r="F20" s="12">
        <v>15.04</v>
      </c>
      <c r="G20" s="15">
        <v>6</v>
      </c>
      <c r="H20" s="5">
        <f t="shared" si="0"/>
        <v>14.137599999999999</v>
      </c>
      <c r="I20" s="5">
        <f t="shared" si="1"/>
        <v>2262.0159999999996</v>
      </c>
    </row>
    <row r="21" spans="1:9" ht="21.95" customHeight="1" x14ac:dyDescent="0.25">
      <c r="A21" s="1">
        <v>13</v>
      </c>
      <c r="B21" s="1" t="s">
        <v>41</v>
      </c>
      <c r="C21" s="4" t="s">
        <v>42</v>
      </c>
      <c r="D21" s="14">
        <v>260</v>
      </c>
      <c r="E21" s="1" t="s">
        <v>19</v>
      </c>
      <c r="F21" s="11">
        <v>29.58</v>
      </c>
      <c r="G21" s="15">
        <v>8</v>
      </c>
      <c r="H21" s="5">
        <f t="shared" si="0"/>
        <v>27.2136</v>
      </c>
      <c r="I21" s="5">
        <f t="shared" si="1"/>
        <v>7075.5360000000001</v>
      </c>
    </row>
    <row r="22" spans="1:9" ht="21.95" customHeight="1" x14ac:dyDescent="0.25">
      <c r="A22" s="1">
        <v>14</v>
      </c>
      <c r="B22" s="1" t="s">
        <v>43</v>
      </c>
      <c r="C22" s="4" t="s">
        <v>44</v>
      </c>
      <c r="D22" s="14">
        <v>210</v>
      </c>
      <c r="E22" s="1" t="s">
        <v>19</v>
      </c>
      <c r="F22" s="11">
        <v>6</v>
      </c>
      <c r="G22" s="15">
        <v>8</v>
      </c>
      <c r="H22" s="5">
        <f t="shared" si="0"/>
        <v>5.5200000000000005</v>
      </c>
      <c r="I22" s="5">
        <f t="shared" si="1"/>
        <v>1159.2</v>
      </c>
    </row>
    <row r="23" spans="1:9" ht="21.9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21.95" customHeight="1" x14ac:dyDescent="0.25">
      <c r="A24" s="1"/>
      <c r="B24" s="1"/>
      <c r="C24" s="1"/>
      <c r="D24" s="1"/>
      <c r="E24" s="1"/>
      <c r="F24" s="1"/>
      <c r="G24" s="1"/>
      <c r="H24" s="2" t="s">
        <v>45</v>
      </c>
      <c r="I24" s="6">
        <f>SUM(I9:I22)</f>
        <v>38691.471000000005</v>
      </c>
    </row>
    <row r="25" spans="1:9" ht="21.95" customHeight="1" x14ac:dyDescent="0.25">
      <c r="A25" s="1"/>
      <c r="B25" s="1"/>
      <c r="C25" s="1"/>
      <c r="D25" s="1"/>
      <c r="E25" s="1"/>
      <c r="F25" s="1"/>
      <c r="G25" s="1"/>
      <c r="H25" s="2" t="s">
        <v>46</v>
      </c>
      <c r="I25" s="7">
        <f>I24*20%</f>
        <v>7738.2942000000012</v>
      </c>
    </row>
    <row r="26" spans="1:9" ht="21.95" customHeight="1" x14ac:dyDescent="0.25">
      <c r="A26" s="1"/>
      <c r="B26" s="1"/>
      <c r="C26" s="1"/>
      <c r="D26" s="1"/>
      <c r="E26" s="1"/>
      <c r="F26" s="1"/>
      <c r="G26" s="1"/>
      <c r="H26" s="2" t="s">
        <v>47</v>
      </c>
      <c r="I26" s="6">
        <f>I24+I25</f>
        <v>46429.765200000009</v>
      </c>
    </row>
    <row r="27" spans="1:9" ht="21.9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21.95" customHeight="1" x14ac:dyDescent="0.25">
      <c r="A28" s="1" t="s">
        <v>48</v>
      </c>
      <c r="B28" s="16" t="s">
        <v>49</v>
      </c>
      <c r="C28" s="1"/>
      <c r="D28" s="1"/>
      <c r="E28" s="1"/>
      <c r="F28" s="1"/>
      <c r="G28" s="1"/>
      <c r="H28" s="1"/>
      <c r="I28" s="1"/>
    </row>
    <row r="29" spans="1:9" ht="21.95" customHeight="1" x14ac:dyDescent="0.25">
      <c r="A29" s="1" t="s">
        <v>50</v>
      </c>
      <c r="B29" s="16" t="s">
        <v>51</v>
      </c>
      <c r="C29" s="1"/>
      <c r="D29" s="1"/>
      <c r="E29" s="1"/>
      <c r="F29" s="1"/>
      <c r="G29" s="1"/>
      <c r="H29" s="1"/>
      <c r="I29" s="1"/>
    </row>
    <row r="30" spans="1:9" ht="21.95" customHeight="1" x14ac:dyDescent="0.25">
      <c r="A30" s="1" t="s">
        <v>52</v>
      </c>
      <c r="B30" s="1" t="s">
        <v>53</v>
      </c>
      <c r="C30" s="1"/>
      <c r="D30" s="1"/>
      <c r="E30" s="1"/>
      <c r="F30" s="1"/>
      <c r="G30" s="1"/>
      <c r="H30" s="1"/>
      <c r="I30" s="1"/>
    </row>
  </sheetData>
  <mergeCells count="2">
    <mergeCell ref="A1:I1"/>
    <mergeCell ref="A2:I2"/>
  </mergeCells>
  <pageMargins left="0.3" right="0.3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doruk sezer</cp:lastModifiedBy>
  <dcterms:created xsi:type="dcterms:W3CDTF">2026-05-02T17:43:45Z</dcterms:created>
  <dcterms:modified xsi:type="dcterms:W3CDTF">2026-05-04T07:03:29Z</dcterms:modified>
</cp:coreProperties>
</file>